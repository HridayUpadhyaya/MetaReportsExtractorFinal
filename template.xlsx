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Notes" sheetId="1" state="visible" r:id="rId1"/>
    <sheet name="Monthly Summary" sheetId="2" state="visible" r:id="rId2"/>
    <sheet name="Trend Charts" sheetId="3" state="visible" r:id="rId3"/>
    <sheet name="Master Data"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color rgb="001F4E78"/>
      <sz val="14"/>
    </font>
    <font>
      <name val="Arial"/>
      <b val="1"/>
      <color rgb="001F4E78"/>
      <sz val="11"/>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bottom"/>
    </xf>
    <xf numFmtId="0" fontId="1" fillId="2" borderId="0" applyAlignment="1" pivotButton="0" quotePrefix="0" xfId="0">
      <alignment vertical="center" wrapText="1"/>
    </xf>
    <xf numFmtId="0" fontId="2" fillId="0" borderId="0" pivotButton="0" quotePrefix="0" xfId="0"/>
    <xf numFmtId="3"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Facebook: Content Actioned (AI) vs Grievances Received</a:t>
            </a:r>
          </a:p>
        </rich>
      </tx>
    </title>
    <plotArea>
      <lineChart>
        <grouping val="standard"/>
        <ser>
          <idx val="0"/>
          <order val="0"/>
          <tx>
            <strRef>
              <f>'Trend Charts'!C1</f>
            </strRef>
          </tx>
          <spPr>
            <a:ln>
              <a:prstDash val="solid"/>
            </a:ln>
          </spPr>
          <marker>
            <symbol val="none"/>
            <spPr>
              <a:ln>
                <a:prstDash val="solid"/>
              </a:ln>
            </spPr>
          </marker>
          <cat>
            <numRef>
              <f>'Trend Charts'!$A$2:$A$3</f>
            </numRef>
          </cat>
          <val>
            <numRef>
              <f>'Trend Charts'!$C$2:$C$3</f>
            </numRef>
          </val>
        </ser>
        <ser>
          <idx val="1"/>
          <order val="1"/>
          <tx>
            <strRef>
              <f>'Trend Charts'!D1</f>
            </strRef>
          </tx>
          <spPr>
            <a:ln>
              <a:prstDash val="solid"/>
            </a:ln>
          </spPr>
          <marker>
            <symbol val="none"/>
            <spPr>
              <a:ln>
                <a:prstDash val="solid"/>
              </a:ln>
            </spPr>
          </marker>
          <cat>
            <numRef>
              <f>'Trend Charts'!$A$2:$A$3</f>
            </numRef>
          </cat>
          <val>
            <numRef>
              <f>'Trend Charts'!$D$2:$D$3</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Instagram: Content Actioned (AI) vs Grievances Received</a:t>
            </a:r>
          </a:p>
        </rich>
      </tx>
    </title>
    <plotArea>
      <lineChart>
        <grouping val="standard"/>
        <ser>
          <idx val="0"/>
          <order val="0"/>
          <tx>
            <strRef>
              <f>'Trend Charts'!E1</f>
            </strRef>
          </tx>
          <spPr>
            <a:ln>
              <a:prstDash val="solid"/>
            </a:ln>
          </spPr>
          <marker>
            <symbol val="none"/>
            <spPr>
              <a:ln>
                <a:prstDash val="solid"/>
              </a:ln>
            </spPr>
          </marker>
          <cat>
            <numRef>
              <f>'Trend Charts'!$A$2:$A$3</f>
            </numRef>
          </cat>
          <val>
            <numRef>
              <f>'Trend Charts'!$E$2:$E$3</f>
            </numRef>
          </val>
        </ser>
        <ser>
          <idx val="1"/>
          <order val="1"/>
          <tx>
            <strRef>
              <f>'Trend Charts'!F1</f>
            </strRef>
          </tx>
          <spPr>
            <a:ln>
              <a:prstDash val="solid"/>
            </a:ln>
          </spPr>
          <marker>
            <symbol val="none"/>
            <spPr>
              <a:ln>
                <a:prstDash val="solid"/>
              </a:ln>
            </spPr>
          </marker>
          <cat>
            <numRef>
              <f>'Trend Charts'!$A$2:$A$3</f>
            </numRef>
          </cat>
          <val>
            <numRef>
              <f>'Trend Charts'!$F$2:$F$3</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16" customWidth="1" min="1" max="1"/>
    <col width="10" customWidth="1" min="2" max="2"/>
    <col width="14" customWidth="1" min="3" max="3"/>
  </cols>
  <sheetData>
    <row r="1" ht="21.75" customHeight="1">
      <c r="A1" s="1" t="inlineStr">
        <is>
          <t>Meta India Regulatory Transparency Reports — Data Notes &amp; Methodology</t>
        </is>
      </c>
    </row>
    <row r="3" ht="15" customHeight="1">
      <c r="A3" s="2" t="inlineStr">
        <is>
          <t>Source</t>
        </is>
      </c>
    </row>
    <row r="4" ht="27.75" customHeight="1">
      <c r="A4" s="3" t="inlineStr">
        <is>
          <t>Meta's India Monthly Reports under the IT (Intermediary Guidelines and Digital Media Ethics Code) Rules, 2021. Collected automatically in latest mode from: Meta Regulatory Transparency Reports Hub.</t>
        </is>
      </c>
    </row>
    <row r="6" ht="15" customHeight="1">
      <c r="A6" s="2" t="inlineStr">
        <is>
          <t>IMPORTANT — Data Excluded From This Dataset</t>
        </is>
      </c>
    </row>
    <row r="7" ht="30" customHeight="1">
      <c r="A7" s="3" t="inlineStr">
        <is>
          <t>None. Every report collected in this run passed the date sanity check.</t>
        </is>
      </c>
    </row>
    <row r="8" ht="15.75" customHeight="1">
      <c r="A8" s="3" t="inlineStr">
        <is>
          <t>Separately, 7 report(s) could not be parsed or located — they are listed at the bottom of this sheet.</t>
        </is>
      </c>
    </row>
    <row r="10" ht="15" customHeight="1">
      <c r="A10" s="2" t="inlineStr">
        <is>
          <t>Coverage</t>
        </is>
      </c>
    </row>
    <row r="11" ht="30" customHeight="1">
      <c r="A11" s="3" t="inlineStr">
        <is>
          <t>2 monthly data points, Jun-2021 – Jul-2021. Platforms present in this dataset: Facebook, Instagram. Meta added Threads reporting partway through the series, so Threads rows only exist for the months where a Threads data table was actually published.</t>
        </is>
      </c>
    </row>
    <row r="13" ht="15" customHeight="1">
      <c r="A13" s="2" t="inlineStr">
        <is>
          <t>Column Definitions (Master Data sheet)</t>
        </is>
      </c>
    </row>
    <row r="14" ht="40" customHeight="1">
      <c r="A14" s="4" t="inlineStr">
        <is>
          <t>Month</t>
        </is>
      </c>
      <c r="C14" s="3" t="inlineStr">
        <is>
          <t>Calendar month the reporting period ends in (e.g. a period of "1 Sep 2023 - 30 Sep 2023" is labeled Sep-2023). Early 2021 reports had irregular, non-calendar-month periods — see Period Start/End for exact dates.</t>
        </is>
      </c>
    </row>
    <row r="15" ht="40" customHeight="1">
      <c r="A15" s="4" t="inlineStr">
        <is>
          <t>Report Published</t>
        </is>
      </c>
      <c r="C15" s="3" t="inlineStr">
        <is>
          <t>The date Meta published the report, which runs 30-45 days after the period it covers. This is also the date used in the report's own URL.</t>
        </is>
      </c>
    </row>
    <row r="16" ht="40" customHeight="1">
      <c r="A16" s="4" t="inlineStr">
        <is>
          <t>Content Actioned (numeric)</t>
        </is>
      </c>
      <c r="C16" s="3" t="inlineStr">
        <is>
          <t>Content Actioned as reported, converted from abbreviated form (e.g. "1.8 M" -&gt; 1800000, "425.7K" -&gt; 425700) to a full number. The original text is kept in "Content Actioned (raw)".</t>
        </is>
      </c>
    </row>
    <row r="17" ht="40" customHeight="1">
      <c r="A17" s="4" t="inlineStr">
        <is>
          <t>Proactive Rate (%)</t>
        </is>
      </c>
      <c r="C17" s="3" t="inlineStr">
        <is>
          <t>As reported by Meta: the % of actioned content that Meta's automated systems found before any user reported it.</t>
        </is>
      </c>
    </row>
    <row r="18" ht="40" customHeight="1">
      <c r="A18" s="4" t="inlineStr">
        <is>
          <t>Proactive Actions by AI (est.)</t>
        </is>
      </c>
      <c r="C18" s="3" t="inlineStr">
        <is>
          <t>Computed as Content Actioned (numeric) x Proactive Rate. This is an ESTIMATE — Meta does not publish this figure directly; it is derived from the two published figures.</t>
        </is>
      </c>
    </row>
    <row r="19" ht="40" customHeight="1">
      <c r="A19" s="4" t="inlineStr">
        <is>
          <t>Total User Grievances Received</t>
        </is>
      </c>
      <c r="C19" s="3" t="inlineStr">
        <is>
          <t>The TOTAL grievances Meta received for that platform in that month (not broken down by policy category — Meta publishes grievances by grievance TYPE e.g. "fake profile", "hacked account", a different taxonomy from the content policy categories here). Repeated on every category row for that platform-month so the sheet stays flat and pivot-friendly.</t>
        </is>
      </c>
    </row>
    <row r="21" ht="15" customHeight="1">
      <c r="A21" s="2" t="inlineStr">
        <is>
          <t>Category Naming</t>
        </is>
      </c>
    </row>
    <row r="22" ht="45" customHeight="1">
      <c r="A22" s="3" t="inlineStr">
        <is>
          <t>Meta expanded its policy-area taxonomy from 9-10 categories (mid-2021) to 13 (2022 onward), and renamed "Terrorist Propaganda" to "Terrorism" partway through — both are labeled "...Terrorism (formerly 'Terrorist Propaganda')" here so the full time series can be compared. Category names in the source PDFs also have inconsistent spacing due to font-rendering quirks; they are normalised to the canonical names used here.</t>
        </is>
      </c>
    </row>
    <row r="24" ht="15" customHeight="1">
      <c r="A24" s="2" t="inlineStr">
        <is>
          <t>Known Limitations</t>
        </is>
      </c>
    </row>
    <row r="25" ht="60" customHeight="1">
      <c r="A25" s="3" t="inlineStr">
        <is>
          <t>- Where a single reporting period was split across two reports (content-actioned data and grievance data published separately), the rows are merged into one row-set here.
- A small number of early reports (2021-2022) used irregular period boundaries while Meta was still settling into a calendar-month cadence.
- 'Proactive Actions by AI (est.)' is a derived estimate, not a Meta-published figure.
- Figures are only as precise as Meta's own rounding (values published as '1.8 M' expand to 1,800,000; '&lt;1 K' is recorded as 1,000).</t>
        </is>
      </c>
    </row>
    <row r="27" ht="15" customHeight="1">
      <c r="A27" s="2" t="inlineStr">
        <is>
          <t>Reports Not Parsed</t>
        </is>
      </c>
    </row>
    <row r="28" ht="30" customHeight="1">
      <c r="A28" s="4" t="inlineStr">
        <is>
          <t>Jun-2021 (coverage unconfirmed: 14 candidate URL(s) had transient or unclassified responses)</t>
        </is>
      </c>
      <c r="C28" s="3" t="inlineStr">
        <is>
          <t>Some candidate URLs could not be verified</t>
        </is>
      </c>
    </row>
    <row r="29" ht="30" customHeight="1">
      <c r="A29" s="4" t="inlineStr">
        <is>
          <t>Jul-2021 (no report PDF at any candidate URL)</t>
        </is>
      </c>
      <c r="C29" s="3" t="inlineStr">
        <is>
          <t>No report PDF found at any candidate URL</t>
        </is>
      </c>
    </row>
    <row r="30" ht="30" customHeight="1">
      <c r="A30" s="4" t="inlineStr">
        <is>
          <t>Aug-2021 (no report PDF at any candidate URL)</t>
        </is>
      </c>
      <c r="C30" s="3" t="inlineStr">
        <is>
          <t>No report PDF found at any candidate URL</t>
        </is>
      </c>
    </row>
    <row r="31" ht="30" customHeight="1">
      <c r="A31" s="4" t="inlineStr">
        <is>
          <t>Sep-2021 (no report PDF at any candidate URL)</t>
        </is>
      </c>
      <c r="C31" s="3" t="inlineStr">
        <is>
          <t>No report PDF found at any candidate URL</t>
        </is>
      </c>
    </row>
    <row r="32" ht="30" customHeight="1">
      <c r="A32" s="4" t="inlineStr">
        <is>
          <t>Oct-2021 (coverage unconfirmed: 58 candidate URL(s) had transient or unclassified responses)</t>
        </is>
      </c>
      <c r="C32" s="3" t="inlineStr">
        <is>
          <t>Some candidate URLs could not be verified</t>
        </is>
      </c>
    </row>
    <row r="33" ht="30" customHeight="1">
      <c r="A33" s="4" t="inlineStr">
        <is>
          <t>Collection paused after HTTP 429. Wait at least 60 seconds before retrying. 59 publication month(s) were not checked.</t>
        </is>
      </c>
      <c r="C33" s="3" t="inlineStr">
        <is>
          <t>Meta rate-limited collection; some months were not checked</t>
        </is>
      </c>
    </row>
    <row r="34" ht="30" customHeight="1">
      <c r="A34" s="4" t="inlineStr">
        <is>
          <t>https://transparency.meta.com/sr/india-monthly-report-july-2021_2</t>
        </is>
      </c>
      <c r="C34" s="3" t="inlineStr">
        <is>
          <t>Only 0 policy rows found. Text starts: 'India Monthly Report under the Information Technology (Intermediary Guidelines and Digital Media Ethics Code) Rules, 2021 Published on 15 July, 2021 Scope The following report is published in accordance with Rule 4(1)(d) of the Information Technology (Intermediary Guidelines and Digital Media Ethics'</t>
        </is>
      </c>
    </row>
    <row r="36" ht="15" customHeight="1">
      <c r="A36" s="3" t="inlineStr">
        <is>
          <t>Generated by meta_india_report_compiler.py on 26 Sep 2026 07:17.</t>
        </is>
      </c>
    </row>
  </sheetData>
  <mergeCells count="41">
    <mergeCell ref="A30:B30"/>
    <mergeCell ref="C16:H16"/>
    <mergeCell ref="A15:B15"/>
    <mergeCell ref="A24:H24"/>
    <mergeCell ref="C31:H31"/>
    <mergeCell ref="A36:H36"/>
    <mergeCell ref="A11:H11"/>
    <mergeCell ref="A1:H1"/>
    <mergeCell ref="A6:H6"/>
    <mergeCell ref="A16:B16"/>
    <mergeCell ref="A7:H7"/>
    <mergeCell ref="A25:H25"/>
    <mergeCell ref="C17:H17"/>
    <mergeCell ref="A18:B18"/>
    <mergeCell ref="A27:H27"/>
    <mergeCell ref="C32:H32"/>
    <mergeCell ref="A3:H3"/>
    <mergeCell ref="C19:H19"/>
    <mergeCell ref="A21:H21"/>
    <mergeCell ref="C28:H28"/>
    <mergeCell ref="A33:B33"/>
    <mergeCell ref="A32:B32"/>
    <mergeCell ref="A14:B14"/>
    <mergeCell ref="C18:H18"/>
    <mergeCell ref="A17:B17"/>
    <mergeCell ref="C34:H34"/>
    <mergeCell ref="A8:H8"/>
    <mergeCell ref="C30:H30"/>
    <mergeCell ref="A22:H22"/>
    <mergeCell ref="C15:H15"/>
    <mergeCell ref="C33:H33"/>
    <mergeCell ref="A4:H4"/>
    <mergeCell ref="A29:B29"/>
    <mergeCell ref="C14:H14"/>
    <mergeCell ref="A19:B19"/>
    <mergeCell ref="A10:H10"/>
    <mergeCell ref="A28:B28"/>
    <mergeCell ref="A13:H13"/>
    <mergeCell ref="A31:B31"/>
    <mergeCell ref="C29:H2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24" customWidth="1" min="5" max="5"/>
    <col width="18" customWidth="1" min="6" max="6"/>
    <col width="22" customWidth="1" min="7" max="7"/>
  </cols>
  <sheetData>
    <row r="1" ht="23.85" customHeight="1">
      <c r="A1" s="5" t="inlineStr">
        <is>
          <t>Month</t>
        </is>
      </c>
      <c r="B1" s="5" t="inlineStr">
        <is>
          <t>Period End</t>
        </is>
      </c>
      <c r="C1" s="5" t="inlineStr">
        <is>
          <t>Platform</t>
        </is>
      </c>
      <c r="D1" s="5" t="inlineStr">
        <is>
          <t>Total Content Actioned</t>
        </is>
      </c>
      <c r="E1" s="5" t="inlineStr">
        <is>
          <t>Total Proactive Actions by AI (est.)</t>
        </is>
      </c>
      <c r="F1" s="5" t="inlineStr">
        <is>
          <t>Overall Proactive Rate (%)</t>
        </is>
      </c>
      <c r="G1" s="5" t="inlineStr">
        <is>
          <t>Total User Grievances Received</t>
        </is>
      </c>
    </row>
    <row r="2">
      <c r="A2" s="6" t="inlineStr">
        <is>
          <t>Jun-2021</t>
        </is>
      </c>
      <c r="B2" s="6" t="inlineStr">
        <is>
          <t>2021-06-15</t>
        </is>
      </c>
      <c r="C2" s="6" t="inlineStr">
        <is>
          <t>Facebook</t>
        </is>
      </c>
      <c r="D2" s="7">
        <f>SUMIFS('Master Data'!$H$2:$H$41,'Master Data'!$A$2:$A$41,A2,'Master Data'!$E$2:$E$41,C2)</f>
        <v/>
      </c>
      <c r="E2" s="7">
        <f>SUMIFS('Master Data'!$J$2:$J$41,'Master Data'!$A$2:$A$41,A2,'Master Data'!$E$2:$E$41,C2)</f>
        <v/>
      </c>
      <c r="F2" s="8">
        <f>IFERROR(E2/D2,"")</f>
        <v/>
      </c>
      <c r="G2" s="7">
        <f>AVERAGEIFS('Master Data'!$K$2:$K$41,'Master Data'!$A$2:$A$41,A2,'Master Data'!$E$2:$E$41,C2)</f>
        <v/>
      </c>
    </row>
    <row r="3">
      <c r="A3" s="6" t="inlineStr">
        <is>
          <t>Jun-2021</t>
        </is>
      </c>
      <c r="B3" s="6" t="inlineStr">
        <is>
          <t>2021-06-15</t>
        </is>
      </c>
      <c r="C3" s="6" t="inlineStr">
        <is>
          <t>Instagram</t>
        </is>
      </c>
      <c r="D3" s="7">
        <f>SUMIFS('Master Data'!$H$2:$H$41,'Master Data'!$A$2:$A$41,A3,'Master Data'!$E$2:$E$41,C3)</f>
        <v/>
      </c>
      <c r="E3" s="7">
        <f>SUMIFS('Master Data'!$J$2:$J$41,'Master Data'!$A$2:$A$41,A3,'Master Data'!$E$2:$E$41,C3)</f>
        <v/>
      </c>
      <c r="F3" s="8">
        <f>IFERROR(E3/D3,"")</f>
        <v/>
      </c>
      <c r="G3" s="7">
        <f>AVERAGEIFS('Master Data'!$K$2:$K$41,'Master Data'!$A$2:$A$41,A3,'Master Data'!$E$2:$E$41,C3)</f>
        <v/>
      </c>
    </row>
    <row r="4">
      <c r="A4" s="6" t="inlineStr">
        <is>
          <t>Jul-2021</t>
        </is>
      </c>
      <c r="B4" s="6" t="inlineStr">
        <is>
          <t>2021-07-31</t>
        </is>
      </c>
      <c r="C4" s="6" t="inlineStr">
        <is>
          <t>Facebook</t>
        </is>
      </c>
      <c r="D4" s="7">
        <f>SUMIFS('Master Data'!$H$2:$H$41,'Master Data'!$A$2:$A$41,A4,'Master Data'!$E$2:$E$41,C4)</f>
        <v/>
      </c>
      <c r="E4" s="7">
        <f>SUMIFS('Master Data'!$J$2:$J$41,'Master Data'!$A$2:$A$41,A4,'Master Data'!$E$2:$E$41,C4)</f>
        <v/>
      </c>
      <c r="F4" s="8">
        <f>IFERROR(E4/D4,"")</f>
        <v/>
      </c>
      <c r="G4" s="7">
        <f>AVERAGEIFS('Master Data'!$K$2:$K$41,'Master Data'!$A$2:$A$41,A4,'Master Data'!$E$2:$E$41,C4)</f>
        <v/>
      </c>
    </row>
    <row r="5">
      <c r="A5" s="6" t="inlineStr">
        <is>
          <t>Jul-2021</t>
        </is>
      </c>
      <c r="B5" s="6" t="inlineStr">
        <is>
          <t>2021-07-31</t>
        </is>
      </c>
      <c r="C5" s="6" t="inlineStr">
        <is>
          <t>Instagram</t>
        </is>
      </c>
      <c r="D5" s="7">
        <f>SUMIFS('Master Data'!$H$2:$H$41,'Master Data'!$A$2:$A$41,A5,'Master Data'!$E$2:$E$41,C5)</f>
        <v/>
      </c>
      <c r="E5" s="7">
        <f>SUMIFS('Master Data'!$J$2:$J$41,'Master Data'!$A$2:$A$41,A5,'Master Data'!$E$2:$E$41,C5)</f>
        <v/>
      </c>
      <c r="F5" s="8">
        <f>IFERROR(E5/D5,"")</f>
        <v/>
      </c>
      <c r="G5" s="7">
        <f>AVERAGEIFS('Master Data'!$K$2:$K$41,'Master Data'!$A$2:$A$41,A5,'Master Data'!$E$2:$E$41,C5)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0" customWidth="1" min="3" max="3"/>
    <col width="22" customWidth="1" min="4" max="4"/>
    <col width="20" customWidth="1" min="5" max="5"/>
    <col width="22" customWidth="1" min="6" max="6"/>
  </cols>
  <sheetData>
    <row r="1" ht="23.85" customHeight="1">
      <c r="A1" s="5" t="inlineStr">
        <is>
          <t>Month</t>
        </is>
      </c>
      <c r="B1" s="5" t="inlineStr">
        <is>
          <t>Period End</t>
        </is>
      </c>
      <c r="C1" s="5" t="inlineStr">
        <is>
          <t>FB: Content Actioned</t>
        </is>
      </c>
      <c r="D1" s="5" t="inlineStr">
        <is>
          <t>FB: Grievances Received</t>
        </is>
      </c>
      <c r="E1" s="5" t="inlineStr">
        <is>
          <t>IG: Content Actioned</t>
        </is>
      </c>
      <c r="F1" s="5" t="inlineStr">
        <is>
          <t>IG: Grievances Received</t>
        </is>
      </c>
    </row>
    <row r="2">
      <c r="A2" s="7" t="inlineStr">
        <is>
          <t>Jun-2021</t>
        </is>
      </c>
      <c r="B2" s="7" t="inlineStr">
        <is>
          <t>2021-06-15</t>
        </is>
      </c>
      <c r="C2" s="7">
        <f>SUMIFS('Master Data'!$H$2:$H$41,'Master Data'!$A$2:$A$41,A2,'Master Data'!$E$2:$E$41,"Facebook")</f>
        <v/>
      </c>
      <c r="D2" s="7">
        <f>IFERROR(AVERAGEIFS('Master Data'!$K$2:$K$41,'Master Data'!$A$2:$A$41,A2,'Master Data'!$E$2:$E$41,"Facebook"),"")</f>
        <v/>
      </c>
      <c r="E2" s="7">
        <f>SUMIFS('Master Data'!$H$2:$H$41,'Master Data'!$A$2:$A$41,A2,'Master Data'!$E$2:$E$41,"Instagram")</f>
        <v/>
      </c>
      <c r="F2" s="7">
        <f>IFERROR(AVERAGEIFS('Master Data'!$K$2:$K$41,'Master Data'!$A$2:$A$41,A2,'Master Data'!$E$2:$E$41,"Instagram"),"")</f>
        <v/>
      </c>
    </row>
    <row r="3">
      <c r="A3" s="7" t="inlineStr">
        <is>
          <t>Jul-2021</t>
        </is>
      </c>
      <c r="B3" s="7" t="inlineStr">
        <is>
          <t>2021-07-31</t>
        </is>
      </c>
      <c r="C3" s="7">
        <f>SUMIFS('Master Data'!$H$2:$H$41,'Master Data'!$A$2:$A$41,A3,'Master Data'!$E$2:$E$41,"Facebook")</f>
        <v/>
      </c>
      <c r="D3" s="7">
        <f>IFERROR(AVERAGEIFS('Master Data'!$K$2:$K$41,'Master Data'!$A$2:$A$41,A3,'Master Data'!$E$2:$E$41,"Facebook"),"")</f>
        <v/>
      </c>
      <c r="E3" s="7">
        <f>SUMIFS('Master Data'!$H$2:$H$41,'Master Data'!$A$2:$A$41,A3,'Master Data'!$E$2:$E$41,"Instagram")</f>
        <v/>
      </c>
      <c r="F3" s="7">
        <f>IFERROR(AVERAGEIFS('Master Data'!$K$2:$K$41,'Master Data'!$A$2:$A$41,A3,'Master Data'!$E$2:$E$41,"Instagram"),"")</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6" customWidth="1" min="4" max="4"/>
    <col width="10" customWidth="1" min="5" max="5"/>
    <col width="46" customWidth="1" min="6" max="6"/>
    <col width="16" customWidth="1" min="7" max="7"/>
    <col width="20" customWidth="1" min="8" max="8"/>
    <col width="14" customWidth="1" min="9" max="9"/>
    <col width="20" customWidth="1" min="10" max="10"/>
    <col width="26" customWidth="1" min="11" max="11"/>
  </cols>
  <sheetData>
    <row r="1" ht="23.85" customHeight="1">
      <c r="A1" s="5" t="inlineStr">
        <is>
          <t>Month</t>
        </is>
      </c>
      <c r="B1" s="5" t="inlineStr">
        <is>
          <t>Period Start</t>
        </is>
      </c>
      <c r="C1" s="5" t="inlineStr">
        <is>
          <t>Period End</t>
        </is>
      </c>
      <c r="D1" s="5" t="inlineStr">
        <is>
          <t>Report Published</t>
        </is>
      </c>
      <c r="E1" s="5" t="inlineStr">
        <is>
          <t>Platform</t>
        </is>
      </c>
      <c r="F1" s="5" t="inlineStr">
        <is>
          <t>Policy Category</t>
        </is>
      </c>
      <c r="G1" s="5" t="inlineStr">
        <is>
          <t>Content Actioned (raw)</t>
        </is>
      </c>
      <c r="H1" s="5" t="inlineStr">
        <is>
          <t>Content Actioned (numeric)</t>
        </is>
      </c>
      <c r="I1" s="5" t="inlineStr">
        <is>
          <t>Proactive Rate (%)</t>
        </is>
      </c>
      <c r="J1" s="5" t="inlineStr">
        <is>
          <t>Proactive Actions by AI (est.)</t>
        </is>
      </c>
      <c r="K1" s="5" t="inlineStr">
        <is>
          <t>Total User Grievances Received (platform-month)</t>
        </is>
      </c>
    </row>
    <row r="2">
      <c r="A2" s="6" t="inlineStr">
        <is>
          <t>Jun-2021</t>
        </is>
      </c>
      <c r="B2" s="6" t="inlineStr">
        <is>
          <t>2021-05-15</t>
        </is>
      </c>
      <c r="C2" s="6" t="inlineStr">
        <is>
          <t>2021-06-15</t>
        </is>
      </c>
      <c r="D2" s="6" t="inlineStr">
        <is>
          <t>2 July, 2021</t>
        </is>
      </c>
      <c r="E2" s="6" t="inlineStr">
        <is>
          <t>Facebook</t>
        </is>
      </c>
      <c r="F2" s="6" t="inlineStr">
        <is>
          <t>Adult Nudity and Sexual Activity</t>
        </is>
      </c>
      <c r="G2" s="6" t="inlineStr">
        <is>
          <t>1.8 M</t>
        </is>
      </c>
      <c r="H2" s="6" t="n">
        <v>1800000</v>
      </c>
      <c r="I2" s="8" t="n">
        <v>0.996</v>
      </c>
      <c r="J2" s="7">
        <f>H2*I2</f>
        <v/>
      </c>
      <c r="K2" s="6" t="n"/>
    </row>
    <row r="3">
      <c r="A3" s="6" t="inlineStr">
        <is>
          <t>Jun-2021</t>
        </is>
      </c>
      <c r="B3" s="6" t="inlineStr">
        <is>
          <t>2021-05-15</t>
        </is>
      </c>
      <c r="C3" s="6" t="inlineStr">
        <is>
          <t>2021-06-15</t>
        </is>
      </c>
      <c r="D3" s="6" t="inlineStr">
        <is>
          <t>2 July, 2021</t>
        </is>
      </c>
      <c r="E3" s="6" t="inlineStr">
        <is>
          <t>Facebook</t>
        </is>
      </c>
      <c r="F3" s="6" t="inlineStr">
        <is>
          <t>Bullying and Harassment</t>
        </is>
      </c>
      <c r="G3" s="6" t="inlineStr">
        <is>
          <t>118 K</t>
        </is>
      </c>
      <c r="H3" s="6" t="n">
        <v>118000</v>
      </c>
      <c r="I3" s="8" t="n">
        <v>0.367</v>
      </c>
      <c r="J3" s="7">
        <f>H3*I3</f>
        <v/>
      </c>
      <c r="K3" s="6" t="n"/>
    </row>
    <row r="4">
      <c r="A4" s="6" t="inlineStr">
        <is>
          <t>Jun-2021</t>
        </is>
      </c>
      <c r="B4" s="6" t="inlineStr">
        <is>
          <t>2021-05-15</t>
        </is>
      </c>
      <c r="C4" s="6" t="inlineStr">
        <is>
          <t>2021-06-15</t>
        </is>
      </c>
      <c r="D4" s="6" t="inlineStr">
        <is>
          <t>2 July, 2021</t>
        </is>
      </c>
      <c r="E4" s="6" t="inlineStr">
        <is>
          <t>Facebook</t>
        </is>
      </c>
      <c r="F4" s="6" t="inlineStr">
        <is>
          <t>Dangerous Organizations and Individuals: Organized Hate</t>
        </is>
      </c>
      <c r="G4" s="6" t="inlineStr">
        <is>
          <t>75 K</t>
        </is>
      </c>
      <c r="H4" s="6" t="n">
        <v>75000</v>
      </c>
      <c r="I4" s="8" t="n">
        <v>0.988</v>
      </c>
      <c r="J4" s="7">
        <f>H4*I4</f>
        <v/>
      </c>
      <c r="K4" s="6" t="n"/>
    </row>
    <row r="5">
      <c r="A5" s="6" t="inlineStr">
        <is>
          <t>Jun-2021</t>
        </is>
      </c>
      <c r="B5" s="6" t="inlineStr">
        <is>
          <t>2021-05-15</t>
        </is>
      </c>
      <c r="C5" s="6" t="inlineStr">
        <is>
          <t>2021-06-15</t>
        </is>
      </c>
      <c r="D5" s="6" t="inlineStr">
        <is>
          <t>2 July, 2021</t>
        </is>
      </c>
      <c r="E5" s="6" t="inlineStr">
        <is>
          <t>Facebook</t>
        </is>
      </c>
      <c r="F5" s="6" t="inlineStr">
        <is>
          <t>Dangerous Organizations and Individuals: Terrorism (formerly "Terrorist Propaganda")</t>
        </is>
      </c>
      <c r="G5" s="6" t="inlineStr">
        <is>
          <t>106 K</t>
        </is>
      </c>
      <c r="H5" s="6" t="n">
        <v>106000</v>
      </c>
      <c r="I5" s="8" t="n">
        <v>0.991</v>
      </c>
      <c r="J5" s="7">
        <f>H5*I5</f>
        <v/>
      </c>
      <c r="K5" s="6" t="n"/>
    </row>
    <row r="6">
      <c r="A6" s="6" t="inlineStr">
        <is>
          <t>Jun-2021</t>
        </is>
      </c>
      <c r="B6" s="6" t="inlineStr">
        <is>
          <t>2021-05-15</t>
        </is>
      </c>
      <c r="C6" s="6" t="inlineStr">
        <is>
          <t>2021-06-15</t>
        </is>
      </c>
      <c r="D6" s="6" t="inlineStr">
        <is>
          <t>2 July, 2021</t>
        </is>
      </c>
      <c r="E6" s="6" t="inlineStr">
        <is>
          <t>Facebook</t>
        </is>
      </c>
      <c r="F6" s="6" t="inlineStr">
        <is>
          <t>Hate Speech</t>
        </is>
      </c>
      <c r="G6" s="6" t="inlineStr">
        <is>
          <t>311 K</t>
        </is>
      </c>
      <c r="H6" s="6" t="n">
        <v>311000</v>
      </c>
      <c r="I6" s="8" t="n">
        <v>0.9640000000000001</v>
      </c>
      <c r="J6" s="7">
        <f>H6*I6</f>
        <v/>
      </c>
      <c r="K6" s="6" t="n"/>
    </row>
    <row r="7">
      <c r="A7" s="6" t="inlineStr">
        <is>
          <t>Jun-2021</t>
        </is>
      </c>
      <c r="B7" s="6" t="inlineStr">
        <is>
          <t>2021-05-15</t>
        </is>
      </c>
      <c r="C7" s="6" t="inlineStr">
        <is>
          <t>2021-06-15</t>
        </is>
      </c>
      <c r="D7" s="6" t="inlineStr">
        <is>
          <t>2 July, 2021</t>
        </is>
      </c>
      <c r="E7" s="6" t="inlineStr">
        <is>
          <t>Facebook</t>
        </is>
      </c>
      <c r="F7" s="6" t="inlineStr">
        <is>
          <t>Regulated Goods: Drugs</t>
        </is>
      </c>
      <c r="G7" s="6" t="inlineStr">
        <is>
          <t>7.7 K</t>
        </is>
      </c>
      <c r="H7" s="6" t="n">
        <v>7700</v>
      </c>
      <c r="I7" s="8" t="n">
        <v>0.9790000000000001</v>
      </c>
      <c r="J7" s="7">
        <f>H7*I7</f>
        <v/>
      </c>
      <c r="K7" s="6" t="n"/>
    </row>
    <row r="8">
      <c r="A8" s="6" t="inlineStr">
        <is>
          <t>Jun-2021</t>
        </is>
      </c>
      <c r="B8" s="6" t="inlineStr">
        <is>
          <t>2021-05-15</t>
        </is>
      </c>
      <c r="C8" s="6" t="inlineStr">
        <is>
          <t>2021-06-15</t>
        </is>
      </c>
      <c r="D8" s="6" t="inlineStr">
        <is>
          <t>2 July, 2021</t>
        </is>
      </c>
      <c r="E8" s="6" t="inlineStr">
        <is>
          <t>Facebook</t>
        </is>
      </c>
      <c r="F8" s="6" t="inlineStr">
        <is>
          <t>Regulated Goods: Firearms</t>
        </is>
      </c>
      <c r="G8" s="6" t="inlineStr">
        <is>
          <t>2.0 K</t>
        </is>
      </c>
      <c r="H8" s="6" t="n">
        <v>2000</v>
      </c>
      <c r="I8" s="8" t="n">
        <v>0.894</v>
      </c>
      <c r="J8" s="7">
        <f>H8*I8</f>
        <v/>
      </c>
      <c r="K8" s="6" t="n"/>
    </row>
    <row r="9">
      <c r="A9" s="6" t="inlineStr">
        <is>
          <t>Jun-2021</t>
        </is>
      </c>
      <c r="B9" s="6" t="inlineStr">
        <is>
          <t>2021-05-15</t>
        </is>
      </c>
      <c r="C9" s="6" t="inlineStr">
        <is>
          <t>2021-06-15</t>
        </is>
      </c>
      <c r="D9" s="6" t="inlineStr">
        <is>
          <t>2 July, 2021</t>
        </is>
      </c>
      <c r="E9" s="6" t="inlineStr">
        <is>
          <t>Facebook</t>
        </is>
      </c>
      <c r="F9" s="6" t="inlineStr">
        <is>
          <t>Suicide and Self-Injury</t>
        </is>
      </c>
      <c r="G9" s="6" t="inlineStr">
        <is>
          <t>589 K</t>
        </is>
      </c>
      <c r="H9" s="6" t="n">
        <v>589000</v>
      </c>
      <c r="I9" s="8" t="n">
        <v>0.997</v>
      </c>
      <c r="J9" s="7">
        <f>H9*I9</f>
        <v/>
      </c>
      <c r="K9" s="6" t="n"/>
    </row>
    <row r="10">
      <c r="A10" s="6" t="inlineStr">
        <is>
          <t>Jun-2021</t>
        </is>
      </c>
      <c r="B10" s="6" t="inlineStr">
        <is>
          <t>2021-05-15</t>
        </is>
      </c>
      <c r="C10" s="6" t="inlineStr">
        <is>
          <t>2021-06-15</t>
        </is>
      </c>
      <c r="D10" s="6" t="inlineStr">
        <is>
          <t>2 July, 2021</t>
        </is>
      </c>
      <c r="E10" s="6" t="inlineStr">
        <is>
          <t>Facebook</t>
        </is>
      </c>
      <c r="F10" s="6" t="inlineStr">
        <is>
          <t>Spam</t>
        </is>
      </c>
      <c r="G10" s="6" t="inlineStr">
        <is>
          <t>25 M</t>
        </is>
      </c>
      <c r="H10" s="6" t="n">
        <v>25000000</v>
      </c>
      <c r="I10" s="8" t="n">
        <v>0.9990000000000001</v>
      </c>
      <c r="J10" s="7">
        <f>H10*I10</f>
        <v/>
      </c>
      <c r="K10" s="6" t="n"/>
    </row>
    <row r="11">
      <c r="A11" s="6" t="inlineStr">
        <is>
          <t>Jun-2021</t>
        </is>
      </c>
      <c r="B11" s="6" t="inlineStr">
        <is>
          <t>2021-05-15</t>
        </is>
      </c>
      <c r="C11" s="6" t="inlineStr">
        <is>
          <t>2021-06-15</t>
        </is>
      </c>
      <c r="D11" s="6" t="inlineStr">
        <is>
          <t>2 July, 2021</t>
        </is>
      </c>
      <c r="E11" s="6" t="inlineStr">
        <is>
          <t>Facebook</t>
        </is>
      </c>
      <c r="F11" s="6" t="inlineStr">
        <is>
          <t>Violent and Graphic Content</t>
        </is>
      </c>
      <c r="G11" s="6" t="inlineStr">
        <is>
          <t>2.5 M</t>
        </is>
      </c>
      <c r="H11" s="6" t="n">
        <v>2500000</v>
      </c>
      <c r="I11" s="8" t="n">
        <v>0.9990000000000001</v>
      </c>
      <c r="J11" s="7">
        <f>H11*I11</f>
        <v/>
      </c>
      <c r="K11" s="6" t="n"/>
    </row>
    <row r="12">
      <c r="A12" s="6" t="inlineStr">
        <is>
          <t>Jun-2021</t>
        </is>
      </c>
      <c r="B12" s="6" t="inlineStr">
        <is>
          <t>2021-05-15</t>
        </is>
      </c>
      <c r="C12" s="6" t="inlineStr">
        <is>
          <t>2021-06-15</t>
        </is>
      </c>
      <c r="D12" s="6" t="inlineStr">
        <is>
          <t>2 July, 2021</t>
        </is>
      </c>
      <c r="E12" s="6" t="inlineStr">
        <is>
          <t>Instagram</t>
        </is>
      </c>
      <c r="F12" s="6" t="inlineStr">
        <is>
          <t>Adult Nudity and Sexual Activity</t>
        </is>
      </c>
      <c r="G12" s="6" t="inlineStr">
        <is>
          <t>490 K</t>
        </is>
      </c>
      <c r="H12" s="6" t="n">
        <v>490000</v>
      </c>
      <c r="I12" s="8" t="n">
        <v>0.965</v>
      </c>
      <c r="J12" s="7">
        <f>H12*I12</f>
        <v/>
      </c>
      <c r="K12" s="6" t="n"/>
    </row>
    <row r="13">
      <c r="A13" s="6" t="inlineStr">
        <is>
          <t>Jun-2021</t>
        </is>
      </c>
      <c r="B13" s="6" t="inlineStr">
        <is>
          <t>2021-05-15</t>
        </is>
      </c>
      <c r="C13" s="6" t="inlineStr">
        <is>
          <t>2021-06-15</t>
        </is>
      </c>
      <c r="D13" s="6" t="inlineStr">
        <is>
          <t>2 July, 2021</t>
        </is>
      </c>
      <c r="E13" s="6" t="inlineStr">
        <is>
          <t>Instagram</t>
        </is>
      </c>
      <c r="F13" s="6" t="inlineStr">
        <is>
          <t>Bullying and Harassment</t>
        </is>
      </c>
      <c r="G13" s="6" t="inlineStr">
        <is>
          <t>108 K</t>
        </is>
      </c>
      <c r="H13" s="6" t="n">
        <v>108000</v>
      </c>
      <c r="I13" s="8" t="n">
        <v>0.431</v>
      </c>
      <c r="J13" s="7">
        <f>H13*I13</f>
        <v/>
      </c>
      <c r="K13" s="6" t="n"/>
    </row>
    <row r="14">
      <c r="A14" s="6" t="inlineStr">
        <is>
          <t>Jun-2021</t>
        </is>
      </c>
      <c r="B14" s="6" t="inlineStr">
        <is>
          <t>2021-05-15</t>
        </is>
      </c>
      <c r="C14" s="6" t="inlineStr">
        <is>
          <t>2021-06-15</t>
        </is>
      </c>
      <c r="D14" s="6" t="inlineStr">
        <is>
          <t>2 July, 2021</t>
        </is>
      </c>
      <c r="E14" s="6" t="inlineStr">
        <is>
          <t>Instagram</t>
        </is>
      </c>
      <c r="F14" s="6" t="inlineStr">
        <is>
          <t>Dangerous Organizations and Individuals: Organized Hate</t>
        </is>
      </c>
      <c r="G14" s="6" t="inlineStr">
        <is>
          <t>6.2 K</t>
        </is>
      </c>
      <c r="H14" s="6" t="n">
        <v>6200</v>
      </c>
      <c r="I14" s="8" t="n">
        <v>0.872</v>
      </c>
      <c r="J14" s="7">
        <f>H14*I14</f>
        <v/>
      </c>
      <c r="K14" s="6" t="n"/>
    </row>
    <row r="15">
      <c r="A15" s="6" t="inlineStr">
        <is>
          <t>Jun-2021</t>
        </is>
      </c>
      <c r="B15" s="6" t="inlineStr">
        <is>
          <t>2021-05-15</t>
        </is>
      </c>
      <c r="C15" s="6" t="inlineStr">
        <is>
          <t>2021-06-15</t>
        </is>
      </c>
      <c r="D15" s="6" t="inlineStr">
        <is>
          <t>2 July, 2021</t>
        </is>
      </c>
      <c r="E15" s="6" t="inlineStr">
        <is>
          <t>Instagram</t>
        </is>
      </c>
      <c r="F15" s="6" t="inlineStr">
        <is>
          <t>Dangerous Organizations and Individuals: Terrorism (formerly "Terrorist Propaganda")</t>
        </is>
      </c>
      <c r="G15" s="6" t="inlineStr">
        <is>
          <t>5.8 K</t>
        </is>
      </c>
      <c r="H15" s="6" t="n">
        <v>5800</v>
      </c>
      <c r="I15" s="8" t="n">
        <v>0.996</v>
      </c>
      <c r="J15" s="7">
        <f>H15*I15</f>
        <v/>
      </c>
      <c r="K15" s="6" t="n"/>
    </row>
    <row r="16">
      <c r="A16" s="6" t="inlineStr">
        <is>
          <t>Jun-2021</t>
        </is>
      </c>
      <c r="B16" s="6" t="inlineStr">
        <is>
          <t>2021-05-15</t>
        </is>
      </c>
      <c r="C16" s="6" t="inlineStr">
        <is>
          <t>2021-06-15</t>
        </is>
      </c>
      <c r="D16" s="6" t="inlineStr">
        <is>
          <t>2 July, 2021</t>
        </is>
      </c>
      <c r="E16" s="6" t="inlineStr">
        <is>
          <t>Instagram</t>
        </is>
      </c>
      <c r="F16" s="6" t="inlineStr">
        <is>
          <t>Hate Speech</t>
        </is>
      </c>
      <c r="G16" s="6" t="inlineStr">
        <is>
          <t>53 K</t>
        </is>
      </c>
      <c r="H16" s="6" t="n">
        <v>53000</v>
      </c>
      <c r="I16" s="8" t="n">
        <v>0.8159999999999999</v>
      </c>
      <c r="J16" s="7">
        <f>H16*I16</f>
        <v/>
      </c>
      <c r="K16" s="6" t="n"/>
    </row>
    <row r="17">
      <c r="A17" s="6" t="inlineStr">
        <is>
          <t>Jun-2021</t>
        </is>
      </c>
      <c r="B17" s="6" t="inlineStr">
        <is>
          <t>2021-05-15</t>
        </is>
      </c>
      <c r="C17" s="6" t="inlineStr">
        <is>
          <t>2021-06-15</t>
        </is>
      </c>
      <c r="D17" s="6" t="inlineStr">
        <is>
          <t>2 July, 2021</t>
        </is>
      </c>
      <c r="E17" s="6" t="inlineStr">
        <is>
          <t>Instagram</t>
        </is>
      </c>
      <c r="F17" s="6" t="inlineStr">
        <is>
          <t>Regulated Goods: Drugs</t>
        </is>
      </c>
      <c r="G17" s="6" t="inlineStr">
        <is>
          <t>1.1 K</t>
        </is>
      </c>
      <c r="H17" s="6" t="n">
        <v>1100</v>
      </c>
      <c r="I17" s="8" t="n">
        <v>0.8859999999999999</v>
      </c>
      <c r="J17" s="7">
        <f>H17*I17</f>
        <v/>
      </c>
      <c r="K17" s="6" t="n"/>
    </row>
    <row r="18">
      <c r="A18" s="6" t="inlineStr">
        <is>
          <t>Jun-2021</t>
        </is>
      </c>
      <c r="B18" s="6" t="inlineStr">
        <is>
          <t>2021-05-15</t>
        </is>
      </c>
      <c r="C18" s="6" t="inlineStr">
        <is>
          <t>2021-06-15</t>
        </is>
      </c>
      <c r="D18" s="6" t="inlineStr">
        <is>
          <t>2 July, 2021</t>
        </is>
      </c>
      <c r="E18" s="6" t="inlineStr">
        <is>
          <t>Instagram</t>
        </is>
      </c>
      <c r="F18" s="6" t="inlineStr">
        <is>
          <t>Regulated Goods: Firearms</t>
        </is>
      </c>
      <c r="G18" s="6" t="inlineStr">
        <is>
          <t>0.2 K</t>
        </is>
      </c>
      <c r="H18" s="6" t="n">
        <v>200</v>
      </c>
      <c r="I18" s="8" t="n">
        <v>0.871</v>
      </c>
      <c r="J18" s="7">
        <f>H18*I18</f>
        <v/>
      </c>
      <c r="K18" s="6" t="n"/>
    </row>
    <row r="19">
      <c r="A19" s="6" t="inlineStr">
        <is>
          <t>Jun-2021</t>
        </is>
      </c>
      <c r="B19" s="6" t="inlineStr">
        <is>
          <t>2021-05-15</t>
        </is>
      </c>
      <c r="C19" s="6" t="inlineStr">
        <is>
          <t>2021-06-15</t>
        </is>
      </c>
      <c r="D19" s="6" t="inlineStr">
        <is>
          <t>2 July, 2021</t>
        </is>
      </c>
      <c r="E19" s="6" t="inlineStr">
        <is>
          <t>Instagram</t>
        </is>
      </c>
      <c r="F19" s="6" t="inlineStr">
        <is>
          <t>Suicide and Self-Injury</t>
        </is>
      </c>
      <c r="G19" s="6" t="inlineStr">
        <is>
          <t>699 K</t>
        </is>
      </c>
      <c r="H19" s="6" t="n">
        <v>699000</v>
      </c>
      <c r="I19" s="8" t="n">
        <v>0.998</v>
      </c>
      <c r="J19" s="7">
        <f>H19*I19</f>
        <v/>
      </c>
      <c r="K19" s="6" t="n"/>
    </row>
    <row r="20">
      <c r="A20" s="6" t="inlineStr">
        <is>
          <t>Jun-2021</t>
        </is>
      </c>
      <c r="B20" s="6" t="inlineStr">
        <is>
          <t>2021-05-15</t>
        </is>
      </c>
      <c r="C20" s="6" t="inlineStr">
        <is>
          <t>2021-06-15</t>
        </is>
      </c>
      <c r="D20" s="6" t="inlineStr">
        <is>
          <t>2 July, 2021</t>
        </is>
      </c>
      <c r="E20" s="6" t="inlineStr">
        <is>
          <t>Instagram</t>
        </is>
      </c>
      <c r="F20" s="6" t="inlineStr">
        <is>
          <t>Spam</t>
        </is>
      </c>
      <c r="G20" s="6" t="inlineStr">
        <is>
          <t>5.</t>
        </is>
      </c>
      <c r="H20" s="6" t="n">
        <v>5</v>
      </c>
      <c r="I20" s="8" t="n">
        <v>0.04</v>
      </c>
      <c r="J20" s="7">
        <f>H20*I20</f>
        <v/>
      </c>
      <c r="K20" s="6" t="n"/>
    </row>
    <row r="21">
      <c r="A21" s="6" t="inlineStr">
        <is>
          <t>Jun-2021</t>
        </is>
      </c>
      <c r="B21" s="6" t="inlineStr">
        <is>
          <t>2021-05-15</t>
        </is>
      </c>
      <c r="C21" s="6" t="inlineStr">
        <is>
          <t>2021-06-15</t>
        </is>
      </c>
      <c r="D21" s="6" t="inlineStr">
        <is>
          <t>2 July, 2021</t>
        </is>
      </c>
      <c r="E21" s="6" t="inlineStr">
        <is>
          <t>Instagram</t>
        </is>
      </c>
      <c r="F21" s="6" t="inlineStr">
        <is>
          <t>Violent and Graphic Content</t>
        </is>
      </c>
      <c r="G21" s="6" t="inlineStr">
        <is>
          <t>668 K</t>
        </is>
      </c>
      <c r="H21" s="6" t="n">
        <v>668000</v>
      </c>
      <c r="I21" s="8" t="n">
        <v>0.997</v>
      </c>
      <c r="J21" s="7">
        <f>H21*I21</f>
        <v/>
      </c>
      <c r="K21" s="6" t="n"/>
    </row>
    <row r="22">
      <c r="A22" s="6" t="inlineStr">
        <is>
          <t>Jul-2021</t>
        </is>
      </c>
      <c r="B22" s="6" t="inlineStr">
        <is>
          <t>2021-06-16</t>
        </is>
      </c>
      <c r="C22" s="6" t="inlineStr">
        <is>
          <t>2021-07-31</t>
        </is>
      </c>
      <c r="D22" s="6" t="inlineStr">
        <is>
          <t>31 August, 2021</t>
        </is>
      </c>
      <c r="E22" s="6" t="inlineStr">
        <is>
          <t>Facebook</t>
        </is>
      </c>
      <c r="F22" s="6" t="inlineStr">
        <is>
          <t>Adult Nudity and Sexual Activity</t>
        </is>
      </c>
      <c r="G22" s="6" t="inlineStr">
        <is>
          <t>2.6 M</t>
        </is>
      </c>
      <c r="H22" s="6" t="n">
        <v>2600000</v>
      </c>
      <c r="I22" s="8" t="n">
        <v>0.997</v>
      </c>
      <c r="J22" s="7">
        <f>H22*I22</f>
        <v/>
      </c>
      <c r="K22" s="6" t="n">
        <v>1504</v>
      </c>
    </row>
    <row r="23">
      <c r="A23" s="6" t="inlineStr">
        <is>
          <t>Jul-2021</t>
        </is>
      </c>
      <c r="B23" s="6" t="inlineStr">
        <is>
          <t>2021-06-16</t>
        </is>
      </c>
      <c r="C23" s="6" t="inlineStr">
        <is>
          <t>2021-07-31</t>
        </is>
      </c>
      <c r="D23" s="6" t="inlineStr">
        <is>
          <t>31 August, 2021</t>
        </is>
      </c>
      <c r="E23" s="6" t="inlineStr">
        <is>
          <t>Facebook</t>
        </is>
      </c>
      <c r="F23" s="6" t="inlineStr">
        <is>
          <t>Bullying and Harassment</t>
        </is>
      </c>
      <c r="G23" s="6" t="inlineStr">
        <is>
          <t>123.4 K</t>
        </is>
      </c>
      <c r="H23" s="6" t="n">
        <v>123400</v>
      </c>
      <c r="I23" s="8" t="n">
        <v>0.423</v>
      </c>
      <c r="J23" s="7">
        <f>H23*I23</f>
        <v/>
      </c>
      <c r="K23" s="6" t="n">
        <v>1504</v>
      </c>
    </row>
    <row r="24">
      <c r="A24" s="6" t="inlineStr">
        <is>
          <t>Jul-2021</t>
        </is>
      </c>
      <c r="B24" s="6" t="inlineStr">
        <is>
          <t>2021-06-16</t>
        </is>
      </c>
      <c r="C24" s="6" t="inlineStr">
        <is>
          <t>2021-07-31</t>
        </is>
      </c>
      <c r="D24" s="6" t="inlineStr">
        <is>
          <t>31 August, 2021</t>
        </is>
      </c>
      <c r="E24" s="6" t="inlineStr">
        <is>
          <t>Facebook</t>
        </is>
      </c>
      <c r="F24" s="6" t="inlineStr">
        <is>
          <t>Dangerous Organizations and Individuals: Organized Hate</t>
        </is>
      </c>
      <c r="G24" s="6" t="inlineStr">
        <is>
          <t>94.5 K</t>
        </is>
      </c>
      <c r="H24" s="6" t="n">
        <v>94500</v>
      </c>
      <c r="I24" s="8" t="n">
        <v>0.998</v>
      </c>
      <c r="J24" s="7">
        <f>H24*I24</f>
        <v/>
      </c>
      <c r="K24" s="6" t="n">
        <v>1504</v>
      </c>
    </row>
    <row r="25">
      <c r="A25" s="6" t="inlineStr">
        <is>
          <t>Jul-2021</t>
        </is>
      </c>
      <c r="B25" s="6" t="inlineStr">
        <is>
          <t>2021-06-16</t>
        </is>
      </c>
      <c r="C25" s="6" t="inlineStr">
        <is>
          <t>2021-07-31</t>
        </is>
      </c>
      <c r="D25" s="6" t="inlineStr">
        <is>
          <t>31 August, 2021</t>
        </is>
      </c>
      <c r="E25" s="6" t="inlineStr">
        <is>
          <t>Facebook</t>
        </is>
      </c>
      <c r="F25" s="6" t="inlineStr">
        <is>
          <t>Dangerous Organizations and Individuals: Terrorism (formerly "Terrorist Propaganda")</t>
        </is>
      </c>
      <c r="G25" s="6" t="inlineStr">
        <is>
          <t>121.2 K</t>
        </is>
      </c>
      <c r="H25" s="6" t="n">
        <v>121200</v>
      </c>
      <c r="I25" s="8" t="n">
        <v>0.996</v>
      </c>
      <c r="J25" s="7">
        <f>H25*I25</f>
        <v/>
      </c>
      <c r="K25" s="6" t="n">
        <v>1504</v>
      </c>
    </row>
    <row r="26">
      <c r="A26" s="6" t="inlineStr">
        <is>
          <t>Jul-2021</t>
        </is>
      </c>
      <c r="B26" s="6" t="inlineStr">
        <is>
          <t>2021-06-16</t>
        </is>
      </c>
      <c r="C26" s="6" t="inlineStr">
        <is>
          <t>2021-07-31</t>
        </is>
      </c>
      <c r="D26" s="6" t="inlineStr">
        <is>
          <t>31 August, 2021</t>
        </is>
      </c>
      <c r="E26" s="6" t="inlineStr">
        <is>
          <t>Facebook</t>
        </is>
      </c>
      <c r="F26" s="6" t="inlineStr">
        <is>
          <t>Hate Speech</t>
        </is>
      </c>
      <c r="G26" s="6" t="inlineStr">
        <is>
          <t>324.3 K</t>
        </is>
      </c>
      <c r="H26" s="6" t="n">
        <v>324300</v>
      </c>
      <c r="I26" s="8" t="n">
        <v>0.972</v>
      </c>
      <c r="J26" s="7">
        <f>H26*I26</f>
        <v/>
      </c>
      <c r="K26" s="6" t="n">
        <v>1504</v>
      </c>
    </row>
    <row r="27">
      <c r="A27" s="6" t="inlineStr">
        <is>
          <t>Jul-2021</t>
        </is>
      </c>
      <c r="B27" s="6" t="inlineStr">
        <is>
          <t>2021-06-16</t>
        </is>
      </c>
      <c r="C27" s="6" t="inlineStr">
        <is>
          <t>2021-07-31</t>
        </is>
      </c>
      <c r="D27" s="6" t="inlineStr">
        <is>
          <t>31 August, 2021</t>
        </is>
      </c>
      <c r="E27" s="6" t="inlineStr">
        <is>
          <t>Facebook</t>
        </is>
      </c>
      <c r="F27" s="6" t="inlineStr">
        <is>
          <t>Regulated Goods: Drugs</t>
        </is>
      </c>
      <c r="G27" s="6" t="inlineStr">
        <is>
          <t>30.7 K</t>
        </is>
      </c>
      <c r="H27" s="6" t="n">
        <v>30700</v>
      </c>
      <c r="I27" s="8" t="n">
        <v>0.992</v>
      </c>
      <c r="J27" s="7">
        <f>H27*I27</f>
        <v/>
      </c>
      <c r="K27" s="6" t="n">
        <v>1504</v>
      </c>
    </row>
    <row r="28">
      <c r="A28" s="6" t="inlineStr">
        <is>
          <t>Jul-2021</t>
        </is>
      </c>
      <c r="B28" s="6" t="inlineStr">
        <is>
          <t>2021-06-16</t>
        </is>
      </c>
      <c r="C28" s="6" t="inlineStr">
        <is>
          <t>2021-07-31</t>
        </is>
      </c>
      <c r="D28" s="6" t="inlineStr">
        <is>
          <t>31 August, 2021</t>
        </is>
      </c>
      <c r="E28" s="6" t="inlineStr">
        <is>
          <t>Facebook</t>
        </is>
      </c>
      <c r="F28" s="6" t="inlineStr">
        <is>
          <t>Regulated Goods: Firearms</t>
        </is>
      </c>
      <c r="G28" s="6" t="inlineStr">
        <is>
          <t>4.6 K</t>
        </is>
      </c>
      <c r="H28" s="6" t="n">
        <v>4600</v>
      </c>
      <c r="I28" s="8" t="n">
        <v>0.868</v>
      </c>
      <c r="J28" s="7">
        <f>H28*I28</f>
        <v/>
      </c>
      <c r="K28" s="6" t="n">
        <v>1504</v>
      </c>
    </row>
    <row r="29">
      <c r="A29" s="6" t="inlineStr">
        <is>
          <t>Jul-2021</t>
        </is>
      </c>
      <c r="B29" s="6" t="inlineStr">
        <is>
          <t>2021-06-16</t>
        </is>
      </c>
      <c r="C29" s="6" t="inlineStr">
        <is>
          <t>2021-07-31</t>
        </is>
      </c>
      <c r="D29" s="6" t="inlineStr">
        <is>
          <t>31 August, 2021</t>
        </is>
      </c>
      <c r="E29" s="6" t="inlineStr">
        <is>
          <t>Facebook</t>
        </is>
      </c>
      <c r="F29" s="6" t="inlineStr">
        <is>
          <t>Suicide and Self-Injury</t>
        </is>
      </c>
      <c r="G29" s="6" t="inlineStr">
        <is>
          <t>945.6 K</t>
        </is>
      </c>
      <c r="H29" s="6" t="n">
        <v>945600</v>
      </c>
      <c r="I29" s="8" t="n">
        <v>0.996</v>
      </c>
      <c r="J29" s="7">
        <f>H29*I29</f>
        <v/>
      </c>
      <c r="K29" s="6" t="n">
        <v>1504</v>
      </c>
    </row>
    <row r="30">
      <c r="A30" s="6" t="inlineStr">
        <is>
          <t>Jul-2021</t>
        </is>
      </c>
      <c r="B30" s="6" t="inlineStr">
        <is>
          <t>2021-06-16</t>
        </is>
      </c>
      <c r="C30" s="6" t="inlineStr">
        <is>
          <t>2021-07-31</t>
        </is>
      </c>
      <c r="D30" s="6" t="inlineStr">
        <is>
          <t>31 August, 2021</t>
        </is>
      </c>
      <c r="E30" s="6" t="inlineStr">
        <is>
          <t>Facebook</t>
        </is>
      </c>
      <c r="F30" s="6" t="inlineStr">
        <is>
          <t>Spam</t>
        </is>
      </c>
      <c r="G30" s="6" t="inlineStr">
        <is>
          <t>25.6 M</t>
        </is>
      </c>
      <c r="H30" s="6" t="n">
        <v>25600000</v>
      </c>
      <c r="I30" s="8" t="n">
        <v>0.9990000000000001</v>
      </c>
      <c r="J30" s="7">
        <f>H30*I30</f>
        <v/>
      </c>
      <c r="K30" s="6" t="n">
        <v>1504</v>
      </c>
    </row>
    <row r="31">
      <c r="A31" s="6" t="inlineStr">
        <is>
          <t>Jul-2021</t>
        </is>
      </c>
      <c r="B31" s="6" t="inlineStr">
        <is>
          <t>2021-06-16</t>
        </is>
      </c>
      <c r="C31" s="6" t="inlineStr">
        <is>
          <t>2021-07-31</t>
        </is>
      </c>
      <c r="D31" s="6" t="inlineStr">
        <is>
          <t>31 August, 2021</t>
        </is>
      </c>
      <c r="E31" s="6" t="inlineStr">
        <is>
          <t>Facebook</t>
        </is>
      </c>
      <c r="F31" s="6" t="inlineStr">
        <is>
          <t>Violent and Graphic Content</t>
        </is>
      </c>
      <c r="G31" s="6" t="inlineStr">
        <is>
          <t>3.5 M</t>
        </is>
      </c>
      <c r="H31" s="6" t="n">
        <v>3500000</v>
      </c>
      <c r="I31" s="8" t="n">
        <v>0.9990000000000001</v>
      </c>
      <c r="J31" s="7">
        <f>H31*I31</f>
        <v/>
      </c>
      <c r="K31" s="6" t="n">
        <v>1504</v>
      </c>
    </row>
    <row r="32">
      <c r="A32" s="6" t="inlineStr">
        <is>
          <t>Jul-2021</t>
        </is>
      </c>
      <c r="B32" s="6" t="inlineStr">
        <is>
          <t>2021-06-16</t>
        </is>
      </c>
      <c r="C32" s="6" t="inlineStr">
        <is>
          <t>2021-07-31</t>
        </is>
      </c>
      <c r="D32" s="6" t="inlineStr">
        <is>
          <t>31 August, 2021</t>
        </is>
      </c>
      <c r="E32" s="6" t="inlineStr">
        <is>
          <t>Instagram</t>
        </is>
      </c>
      <c r="F32" s="6" t="inlineStr">
        <is>
          <t>Adult Nudity and Sexual Activity</t>
        </is>
      </c>
      <c r="G32" s="6" t="inlineStr">
        <is>
          <t>676.1 K</t>
        </is>
      </c>
      <c r="H32" s="6" t="n">
        <v>676100</v>
      </c>
      <c r="I32" s="8" t="n">
        <v>0.953</v>
      </c>
      <c r="J32" s="7">
        <f>H32*I32</f>
        <v/>
      </c>
      <c r="K32" s="6" t="n">
        <v>265</v>
      </c>
    </row>
    <row r="33">
      <c r="A33" s="6" t="inlineStr">
        <is>
          <t>Jul-2021</t>
        </is>
      </c>
      <c r="B33" s="6" t="inlineStr">
        <is>
          <t>2021-06-16</t>
        </is>
      </c>
      <c r="C33" s="6" t="inlineStr">
        <is>
          <t>2021-07-31</t>
        </is>
      </c>
      <c r="D33" s="6" t="inlineStr">
        <is>
          <t>31 August, 2021</t>
        </is>
      </c>
      <c r="E33" s="6" t="inlineStr">
        <is>
          <t>Instagram</t>
        </is>
      </c>
      <c r="F33" s="6" t="inlineStr">
        <is>
          <t>Bullying and Harassment</t>
        </is>
      </c>
      <c r="G33" s="6" t="inlineStr">
        <is>
          <t>195.1 K</t>
        </is>
      </c>
      <c r="H33" s="6" t="n">
        <v>195100</v>
      </c>
      <c r="I33" s="8" t="n">
        <v>0.6459999999999999</v>
      </c>
      <c r="J33" s="7">
        <f>H33*I33</f>
        <v/>
      </c>
      <c r="K33" s="6" t="n">
        <v>265</v>
      </c>
    </row>
    <row r="34">
      <c r="A34" s="6" t="inlineStr">
        <is>
          <t>Jul-2021</t>
        </is>
      </c>
      <c r="B34" s="6" t="inlineStr">
        <is>
          <t>2021-06-16</t>
        </is>
      </c>
      <c r="C34" s="6" t="inlineStr">
        <is>
          <t>2021-07-31</t>
        </is>
      </c>
      <c r="D34" s="6" t="inlineStr">
        <is>
          <t>31 August, 2021</t>
        </is>
      </c>
      <c r="E34" s="6" t="inlineStr">
        <is>
          <t>Instagram</t>
        </is>
      </c>
      <c r="F34" s="6" t="inlineStr">
        <is>
          <t>Dangerous Organizations and Individuals: Organized Hate</t>
        </is>
      </c>
      <c r="G34" s="6" t="inlineStr">
        <is>
          <t>5.5 K</t>
        </is>
      </c>
      <c r="H34" s="6" t="n">
        <v>5500</v>
      </c>
      <c r="I34" s="8" t="n">
        <v>0.9379999999999999</v>
      </c>
      <c r="J34" s="7">
        <f>H34*I34</f>
        <v/>
      </c>
      <c r="K34" s="6" t="n">
        <v>265</v>
      </c>
    </row>
    <row r="35">
      <c r="A35" s="6" t="inlineStr">
        <is>
          <t>Jul-2021</t>
        </is>
      </c>
      <c r="B35" s="6" t="inlineStr">
        <is>
          <t>2021-06-16</t>
        </is>
      </c>
      <c r="C35" s="6" t="inlineStr">
        <is>
          <t>2021-07-31</t>
        </is>
      </c>
      <c r="D35" s="6" t="inlineStr">
        <is>
          <t>31 August, 2021</t>
        </is>
      </c>
      <c r="E35" s="6" t="inlineStr">
        <is>
          <t>Instagram</t>
        </is>
      </c>
      <c r="F35" s="6" t="inlineStr">
        <is>
          <t>Dangerous Organizations and Individuals: Terrorism (formerly "Terrorist Propaganda")</t>
        </is>
      </c>
      <c r="G35" s="6" t="inlineStr">
        <is>
          <t>9.1 K</t>
        </is>
      </c>
      <c r="H35" s="6" t="n">
        <v>9100</v>
      </c>
      <c r="I35" s="8" t="n">
        <v>0.9990000000000001</v>
      </c>
      <c r="J35" s="7">
        <f>H35*I35</f>
        <v/>
      </c>
      <c r="K35" s="6" t="n">
        <v>265</v>
      </c>
    </row>
    <row r="36">
      <c r="A36" s="6" t="inlineStr">
        <is>
          <t>Jul-2021</t>
        </is>
      </c>
      <c r="B36" s="6" t="inlineStr">
        <is>
          <t>2021-06-16</t>
        </is>
      </c>
      <c r="C36" s="6" t="inlineStr">
        <is>
          <t>2021-07-31</t>
        </is>
      </c>
      <c r="D36" s="6" t="inlineStr">
        <is>
          <t>31 August, 2021</t>
        </is>
      </c>
      <c r="E36" s="6" t="inlineStr">
        <is>
          <t>Instagram</t>
        </is>
      </c>
      <c r="F36" s="6" t="inlineStr">
        <is>
          <t>Hate Speech</t>
        </is>
      </c>
      <c r="G36" s="6" t="inlineStr">
        <is>
          <t>56.2 K</t>
        </is>
      </c>
      <c r="H36" s="6" t="n">
        <v>56200</v>
      </c>
      <c r="I36" s="8" t="n">
        <v>0.862</v>
      </c>
      <c r="J36" s="7">
        <f>H36*I36</f>
        <v/>
      </c>
      <c r="K36" s="6" t="n">
        <v>265</v>
      </c>
    </row>
    <row r="37">
      <c r="A37" s="6" t="inlineStr">
        <is>
          <t>Jul-2021</t>
        </is>
      </c>
      <c r="B37" s="6" t="inlineStr">
        <is>
          <t>2021-06-16</t>
        </is>
      </c>
      <c r="C37" s="6" t="inlineStr">
        <is>
          <t>2021-07-31</t>
        </is>
      </c>
      <c r="D37" s="6" t="inlineStr">
        <is>
          <t>31 August, 2021</t>
        </is>
      </c>
      <c r="E37" s="6" t="inlineStr">
        <is>
          <t>Instagram</t>
        </is>
      </c>
      <c r="F37" s="6" t="inlineStr">
        <is>
          <t>Regulated Goods: Drugs</t>
        </is>
      </c>
      <c r="G37" s="6" t="inlineStr">
        <is>
          <t>11.5 K</t>
        </is>
      </c>
      <c r="H37" s="6" t="n">
        <v>11500</v>
      </c>
      <c r="I37" s="8" t="n">
        <v>0.995</v>
      </c>
      <c r="J37" s="7">
        <f>H37*I37</f>
        <v/>
      </c>
      <c r="K37" s="6" t="n">
        <v>265</v>
      </c>
    </row>
    <row r="38">
      <c r="A38" s="6" t="inlineStr">
        <is>
          <t>Jul-2021</t>
        </is>
      </c>
      <c r="B38" s="6" t="inlineStr">
        <is>
          <t>2021-06-16</t>
        </is>
      </c>
      <c r="C38" s="6" t="inlineStr">
        <is>
          <t>2021-07-31</t>
        </is>
      </c>
      <c r="D38" s="6" t="inlineStr">
        <is>
          <t>31 August, 2021</t>
        </is>
      </c>
      <c r="E38" s="6" t="inlineStr">
        <is>
          <t>Instagram</t>
        </is>
      </c>
      <c r="F38" s="6" t="inlineStr">
        <is>
          <t>Regulated Goods: Firearms</t>
        </is>
      </c>
      <c r="G38" s="6" t="inlineStr">
        <is>
          <t>0.2 K</t>
        </is>
      </c>
      <c r="H38" s="6" t="n">
        <v>200</v>
      </c>
      <c r="I38" s="8" t="n">
        <v>0.929</v>
      </c>
      <c r="J38" s="7">
        <f>H38*I38</f>
        <v/>
      </c>
      <c r="K38" s="6" t="n">
        <v>265</v>
      </c>
    </row>
    <row r="39">
      <c r="A39" s="6" t="inlineStr">
        <is>
          <t>Jul-2021</t>
        </is>
      </c>
      <c r="B39" s="6" t="inlineStr">
        <is>
          <t>2021-06-16</t>
        </is>
      </c>
      <c r="C39" s="6" t="inlineStr">
        <is>
          <t>2021-07-31</t>
        </is>
      </c>
      <c r="D39" s="6" t="inlineStr">
        <is>
          <t>31 August, 2021</t>
        </is>
      </c>
      <c r="E39" s="6" t="inlineStr">
        <is>
          <t>Instagram</t>
        </is>
      </c>
      <c r="F39" s="6" t="inlineStr">
        <is>
          <t>Suicide and Self-Injury</t>
        </is>
      </c>
      <c r="G39" s="6" t="inlineStr">
        <is>
          <t>811.0 K</t>
        </is>
      </c>
      <c r="H39" s="6" t="n">
        <v>811000</v>
      </c>
      <c r="I39" s="8" t="n">
        <v>0.9940000000000001</v>
      </c>
      <c r="J39" s="7">
        <f>H39*I39</f>
        <v/>
      </c>
      <c r="K39" s="6" t="n">
        <v>265</v>
      </c>
    </row>
    <row r="40">
      <c r="A40" s="6" t="inlineStr">
        <is>
          <t>Jul-2021</t>
        </is>
      </c>
      <c r="B40" s="6" t="inlineStr">
        <is>
          <t>2021-06-16</t>
        </is>
      </c>
      <c r="C40" s="6" t="inlineStr">
        <is>
          <t>2021-07-31</t>
        </is>
      </c>
      <c r="D40" s="6" t="inlineStr">
        <is>
          <t>31 August, 2021</t>
        </is>
      </c>
      <c r="E40" s="6" t="inlineStr">
        <is>
          <t>Instagram</t>
        </is>
      </c>
      <c r="F40" s="6" t="inlineStr">
        <is>
          <t>Spam</t>
        </is>
      </c>
      <c r="G40" s="6" t="inlineStr">
        <is>
          <t>5.</t>
        </is>
      </c>
      <c r="H40" s="6" t="n">
        <v>5</v>
      </c>
      <c r="I40" s="8" t="n">
        <v>0.04</v>
      </c>
      <c r="J40" s="7">
        <f>H40*I40</f>
        <v/>
      </c>
      <c r="K40" s="6" t="n">
        <v>265</v>
      </c>
    </row>
    <row r="41">
      <c r="A41" s="6" t="inlineStr">
        <is>
          <t>Jul-2021</t>
        </is>
      </c>
      <c r="B41" s="6" t="inlineStr">
        <is>
          <t>2021-06-16</t>
        </is>
      </c>
      <c r="C41" s="6" t="inlineStr">
        <is>
          <t>2021-07-31</t>
        </is>
      </c>
      <c r="D41" s="6" t="inlineStr">
        <is>
          <t>31 August, 2021</t>
        </is>
      </c>
      <c r="E41" s="6" t="inlineStr">
        <is>
          <t>Instagram</t>
        </is>
      </c>
      <c r="F41" s="6" t="inlineStr">
        <is>
          <t>Violent and Graphic Content</t>
        </is>
      </c>
      <c r="G41" s="6" t="inlineStr">
        <is>
          <t>1.1 M</t>
        </is>
      </c>
      <c r="H41" s="6" t="n">
        <v>1100000</v>
      </c>
      <c r="I41" s="8" t="n">
        <v>0.998</v>
      </c>
      <c r="J41" s="7">
        <f>H41*I41</f>
        <v/>
      </c>
      <c r="K41" s="6" t="n">
        <v>265</v>
      </c>
    </row>
    <row r="43">
      <c r="A43" s="3" t="inlineStr">
        <is>
          <t>Note: 'Total User Grievances Received' is the platform-month total (not broken down by category) and is repeated on every category row for that platform-month, so it can be filtered/pivoted alongside category-level data. 'Proactive Actions by AI (est.)' = Content Actioned x Proactive Rate.</t>
        </is>
      </c>
    </row>
  </sheetData>
  <mergeCells count="1">
    <mergeCell ref="A43:K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2026-09-26T07:17:29Z</dcterms:created>
  <dcterms:modified xsi:type="dcterms:W3CDTF">2026-09-26T07:17:29Z</dcterms:modified>
</cp:coreProperties>
</file>